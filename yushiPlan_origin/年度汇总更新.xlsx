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<sst xmlns="http://schemas.openxmlformats.org/spreadsheetml/2006/main" count="31" uniqueCount="20">
  <si>
    <t>汇总</t>
  </si>
  <si>
    <t>年度总计划量</t>
  </si>
  <si>
    <t>年度总完成量</t>
  </si>
  <si>
    <t>年度计划完成率</t>
  </si>
  <si>
    <t>6月计划量</t>
  </si>
  <si>
    <t>6月完成量</t>
  </si>
  <si>
    <t>6月计划完成率</t>
  </si>
  <si>
    <t>异常情况</t>
  </si>
  <si>
    <t>交叉互联试验（回）</t>
  </si>
  <si>
    <t>/</t>
  </si>
  <si>
    <t>避雷器试验（回）</t>
  </si>
  <si>
    <t>护套环流（回）</t>
  </si>
  <si>
    <t>电缆终端红外检测（回）</t>
  </si>
  <si>
    <t>避雷器红外检测（回）</t>
  </si>
  <si>
    <t>非直埋式中间接头红外检测（回）</t>
  </si>
  <si>
    <t>高压电缆T接筒SF6气体测试（处）</t>
  </si>
  <si>
    <t>局放试验（回）</t>
  </si>
  <si>
    <t>架空线路红外检测（条）</t>
  </si>
  <si>
    <t>重要交叉跨越区段红外测温（处）</t>
  </si>
  <si>
    <t>接地电阻测试（基）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</si>
</sst>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仿宋_GB2312"/>
      <charset val="134"/>
    </font>
    <font>
      <sz val="12"/>
      <color theme="1"/>
      <name val="仿宋_GB2312"/>
      <charset val="134"/>
    </font>
    <font>
      <sz val="12"/>
      <color rgb="FF000000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C11" sqref="C11"/>
    </sheetView>
  </sheetViews>
  <sheetFormatPr defaultColWidth="9" defaultRowHeight="13.5" outlineLevelCol="7"/>
  <sheetData>
    <row r="1" ht="15.75" customHeight="1" spans="1:8">
      <c r="A1" s="1"/>
      <c r="B1" s="2" t="s">
        <v>0</v>
      </c>
      <c r="C1" s="2"/>
      <c r="D1" s="2"/>
      <c r="E1" s="2"/>
      <c r="F1" s="2"/>
      <c r="G1" s="2"/>
      <c r="H1" s="2"/>
    </row>
    <row r="2" ht="43.5" spans="1:8">
      <c r="A2" s="1"/>
      <c r="B2" s="3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4" t="s">
        <v>7</v>
      </c>
    </row>
    <row r="3" ht="43.5" spans="1:8">
      <c r="A3" s="6" t="s">
        <v>8</v>
      </c>
      <c r="B3" s="7">
        <v>65</v>
      </c>
      <c r="C3" s="8">
        <f>32+3</f>
        <v>35</v>
      </c>
      <c r="D3" s="9">
        <f t="shared" ref="D3:D8" si="0">C3/B3</f>
        <v>0.538461538461538</v>
      </c>
      <c r="E3" s="10">
        <v>4</v>
      </c>
      <c r="F3" s="10">
        <v>3</v>
      </c>
      <c r="G3" s="11">
        <f>F3/E3</f>
        <v>0.75</v>
      </c>
      <c r="H3" s="7" t="s">
        <v>9</v>
      </c>
    </row>
    <row r="4" ht="29.25" spans="1:8">
      <c r="A4" s="6" t="s">
        <v>10</v>
      </c>
      <c r="B4" s="7">
        <v>94</v>
      </c>
      <c r="C4" s="8">
        <f>72+2</f>
        <v>74</v>
      </c>
      <c r="D4" s="9">
        <f t="shared" si="0"/>
        <v>0.787234042553192</v>
      </c>
      <c r="E4" s="10">
        <v>0</v>
      </c>
      <c r="F4" s="10">
        <v>2</v>
      </c>
      <c r="G4" s="11">
        <v>1</v>
      </c>
      <c r="H4" s="7" t="s">
        <v>9</v>
      </c>
    </row>
    <row r="5" ht="29.25" spans="1:8">
      <c r="A5" s="6" t="s">
        <v>11</v>
      </c>
      <c r="B5" s="7">
        <v>812</v>
      </c>
      <c r="C5" s="8">
        <f>364+91</f>
        <v>455</v>
      </c>
      <c r="D5" s="9">
        <f t="shared" si="0"/>
        <v>0.560344827586207</v>
      </c>
      <c r="E5" s="10">
        <v>113</v>
      </c>
      <c r="F5" s="10">
        <v>91</v>
      </c>
      <c r="G5" s="11">
        <f t="shared" ref="G4:G13" si="1">F5/E5</f>
        <v>0.805309734513274</v>
      </c>
      <c r="H5" s="7" t="s">
        <v>9</v>
      </c>
    </row>
    <row r="6" ht="43.5" spans="1:8">
      <c r="A6" s="6" t="s">
        <v>12</v>
      </c>
      <c r="B6" s="7">
        <v>655</v>
      </c>
      <c r="C6" s="8">
        <f>275+47</f>
        <v>322</v>
      </c>
      <c r="D6" s="9">
        <f t="shared" si="0"/>
        <v>0.491603053435115</v>
      </c>
      <c r="E6" s="10">
        <v>74</v>
      </c>
      <c r="F6" s="10">
        <v>47</v>
      </c>
      <c r="G6" s="11">
        <f t="shared" si="1"/>
        <v>0.635135135135135</v>
      </c>
      <c r="H6" s="7" t="s">
        <v>9</v>
      </c>
    </row>
    <row r="7" ht="43.5" spans="1:8">
      <c r="A7" s="6" t="s">
        <v>13</v>
      </c>
      <c r="B7" s="7">
        <v>372</v>
      </c>
      <c r="C7" s="8">
        <f>163+26</f>
        <v>189</v>
      </c>
      <c r="D7" s="9">
        <f t="shared" si="0"/>
        <v>0.508064516129032</v>
      </c>
      <c r="E7" s="10">
        <v>39</v>
      </c>
      <c r="F7" s="10">
        <v>26</v>
      </c>
      <c r="G7" s="11">
        <f t="shared" si="1"/>
        <v>0.666666666666667</v>
      </c>
      <c r="H7" s="7" t="s">
        <v>9</v>
      </c>
    </row>
    <row r="8" ht="57.75" spans="1:8">
      <c r="A8" s="6" t="s">
        <v>14</v>
      </c>
      <c r="B8" s="7">
        <v>502</v>
      </c>
      <c r="C8" s="8">
        <f>192+70</f>
        <v>262</v>
      </c>
      <c r="D8" s="9">
        <f t="shared" si="0"/>
        <v>0.52191235059761</v>
      </c>
      <c r="E8" s="10">
        <v>73</v>
      </c>
      <c r="F8" s="10">
        <v>70</v>
      </c>
      <c r="G8" s="11">
        <f t="shared" si="1"/>
        <v>0.958904109589041</v>
      </c>
      <c r="H8" s="12" t="s">
        <v>9</v>
      </c>
    </row>
    <row r="9" ht="57.75" spans="1:8">
      <c r="A9" s="6" t="s">
        <v>15</v>
      </c>
      <c r="B9" s="7">
        <v>0</v>
      </c>
      <c r="C9" s="8">
        <v>0</v>
      </c>
      <c r="D9" s="13">
        <v>0</v>
      </c>
      <c r="E9" s="8">
        <v>0</v>
      </c>
      <c r="F9" s="8">
        <v>0</v>
      </c>
      <c r="G9" s="11" t="s">
        <v>9</v>
      </c>
      <c r="H9" s="7" t="s">
        <v>9</v>
      </c>
    </row>
    <row r="10" ht="29.25" spans="1:8">
      <c r="A10" s="6" t="s">
        <v>16</v>
      </c>
      <c r="B10" s="7">
        <v>85</v>
      </c>
      <c r="C10" s="8">
        <v>3</v>
      </c>
      <c r="D10" s="9">
        <v>0.036</v>
      </c>
      <c r="E10" s="8">
        <v>0</v>
      </c>
      <c r="F10" s="8">
        <v>0</v>
      </c>
      <c r="G10" s="11" t="s">
        <v>9</v>
      </c>
      <c r="H10" s="7" t="s">
        <v>9</v>
      </c>
    </row>
    <row r="11" ht="43.5" spans="1:8">
      <c r="A11" s="6" t="s">
        <v>17</v>
      </c>
      <c r="B11" s="7">
        <v>382</v>
      </c>
      <c r="C11" s="8">
        <f>189+141</f>
        <v>330</v>
      </c>
      <c r="D11" s="9">
        <f>C11/B11</f>
        <v>0.863874345549738</v>
      </c>
      <c r="E11" s="8">
        <v>146</v>
      </c>
      <c r="F11" s="8">
        <v>141</v>
      </c>
      <c r="G11" s="11">
        <f t="shared" si="1"/>
        <v>0.965753424657534</v>
      </c>
      <c r="H11" s="7" t="s">
        <v>9</v>
      </c>
    </row>
    <row r="12" ht="57.75" spans="1:8">
      <c r="A12" s="6" t="s">
        <v>18</v>
      </c>
      <c r="B12" s="7">
        <v>11184</v>
      </c>
      <c r="C12" s="14">
        <f>4209+873</f>
        <v>5082</v>
      </c>
      <c r="D12" s="9">
        <f>C12/B12</f>
        <v>0.454399141630901</v>
      </c>
      <c r="E12" s="14">
        <v>932</v>
      </c>
      <c r="F12" s="14">
        <v>873</v>
      </c>
      <c r="G12" s="11">
        <f t="shared" si="1"/>
        <v>0.936695278969957</v>
      </c>
      <c r="H12" s="7"/>
    </row>
    <row r="13" ht="43.5" spans="1:8">
      <c r="A13" s="6" t="s">
        <v>19</v>
      </c>
      <c r="B13" s="15">
        <v>3855</v>
      </c>
      <c r="C13" s="16">
        <f>766+14</f>
        <v>780</v>
      </c>
      <c r="D13" s="9">
        <f>C13/B13</f>
        <v>0.202334630350195</v>
      </c>
      <c r="E13" s="16">
        <v>10</v>
      </c>
      <c r="F13" s="16">
        <v>14</v>
      </c>
      <c r="G13" s="11">
        <v>1</v>
      </c>
      <c r="H13" s="7" t="s">
        <v>9</v>
      </c>
    </row>
  </sheetData>
  <mergeCells count="2">
    <mergeCell ref="B1:H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vwuchaorong000830</cp:lastModifiedBy>
  <dcterms:created xsi:type="dcterms:W3CDTF">2024-07-10T01:48:00Z</dcterms:created>
  <dcterms:modified xsi:type="dcterms:W3CDTF">2024-07-11T01:18:20Z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8A9E2D4317B14BB1ABE55C52CBA6011F</vt:lpwstr>
  </property>
  <property fmtid="{D5CDD505-2E9C-101B-9397-08002B2CF9AE}" pid="3" name="KSOProductBuildVer">
    <vt:lpwstr>2052-11.8.2.12085</vt:lpwstr>
  </property>
</Properties>
</file>